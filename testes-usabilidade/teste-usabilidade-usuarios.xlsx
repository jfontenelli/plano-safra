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7d0a2a480afdd4b/Publico/_UNISYSTEM/PRODUTOS/PLANO_SAFRA/prototipo/plano-safra/testes-usabilidade/"/>
    </mc:Choice>
  </mc:AlternateContent>
  <xr:revisionPtr revIDLastSave="23" documentId="14_{45172B06-A005-4521-81E3-83389F228339}" xr6:coauthVersionLast="47" xr6:coauthVersionMax="47" xr10:uidLastSave="{D28FA040-A052-466B-B351-92EA825CE264}"/>
  <bookViews>
    <workbookView xWindow="-108" yWindow="-108" windowWidth="23256" windowHeight="12456" xr2:uid="{E676F933-A8F2-43C7-A550-65227152B1BA}"/>
  </bookViews>
  <sheets>
    <sheet name="PICCINI" sheetId="1" r:id="rId1"/>
    <sheet name="PISSOLO" sheetId="3" r:id="rId2"/>
    <sheet name="Resumo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" i="2" l="1"/>
  <c r="C4" i="2"/>
  <c r="C5" i="2"/>
  <c r="C2" i="2"/>
  <c r="C6" i="2" s="1"/>
  <c r="B3" i="2"/>
  <c r="B4" i="2"/>
  <c r="B5" i="2"/>
  <c r="B2" i="2"/>
  <c r="D4" i="2" l="1"/>
  <c r="D5" i="2"/>
  <c r="D2" i="2"/>
  <c r="D3" i="2"/>
  <c r="B6" i="2"/>
  <c r="D6" i="2" s="1"/>
</calcChain>
</file>

<file path=xl/sharedStrings.xml><?xml version="1.0" encoding="utf-8"?>
<sst xmlns="http://schemas.openxmlformats.org/spreadsheetml/2006/main" count="280" uniqueCount="89">
  <si>
    <t>Piccini</t>
  </si>
  <si>
    <t>GRUPO</t>
  </si>
  <si>
    <t>USUÁRIO</t>
  </si>
  <si>
    <t>DEMANDA</t>
  </si>
  <si>
    <t>TELA</t>
  </si>
  <si>
    <t>Visão Geral</t>
  </si>
  <si>
    <t>Dificuldade para iniciar a safra na página inicial</t>
  </si>
  <si>
    <t>Classificação</t>
  </si>
  <si>
    <t>Dificuldade para entender o que significa XLSX</t>
  </si>
  <si>
    <t>Operações</t>
  </si>
  <si>
    <t>Plantio</t>
  </si>
  <si>
    <t>O preenchimento da tabela e a seleção de linhas ficou confuso</t>
  </si>
  <si>
    <t>O usuário entendeu que a pop. Plantas já estava preenchida, mas era só sugestão</t>
  </si>
  <si>
    <t>Produtividade histórica: precisamos demonstrar que é a média das 3 últimas safras</t>
  </si>
  <si>
    <t>Definir Plantio: deixar pré-preenchido a germinação com 95%</t>
  </si>
  <si>
    <t>Giovani</t>
  </si>
  <si>
    <t>Defensivo</t>
  </si>
  <si>
    <t>Fertilidade</t>
  </si>
  <si>
    <t>Nome da Recomendação: gerar automático no sistema</t>
  </si>
  <si>
    <t xml:space="preserve">Seleciona o principio ativo e posso cadastrar outro produto comercial </t>
  </si>
  <si>
    <t>Desenhar uma forma intuitiva de copiar a recomendação de uma operação para outra</t>
  </si>
  <si>
    <t xml:space="preserve">definir recomendação: marcar se é taxa fixa ou taxa variável </t>
  </si>
  <si>
    <t>Colocar % de área que receberá o produto assim como no plantio</t>
  </si>
  <si>
    <t>Programação</t>
  </si>
  <si>
    <t xml:space="preserve">Tabela: Incluir a coluna de consumo total </t>
  </si>
  <si>
    <t>Tabela e Ciclo Produtivo: Incluir os filtros: Grupo de Operação, Operação e Talhão</t>
  </si>
  <si>
    <t>Ciclo Produtivo: Acrescentar informações no nome de variedade e hectares de cada produto e dose.
Exemplo Plantio: Var A 100 há, Var B: 200 há.  Calcario A 2 t/há 100 há, Calcario A 3 t/há 10 há</t>
  </si>
  <si>
    <t xml:space="preserve">Definir recomendação: cabeçalho ajustar o label de número de talhões e hectares, 
quando for um único talhão escrever o nome dele. </t>
  </si>
  <si>
    <t>Criar uma nova guia com as informações de resumo: produto, volume total, hectare total. 
Resumo de área de plantio e colheita com datas.</t>
  </si>
  <si>
    <t>Orçamento</t>
  </si>
  <si>
    <t>Tabela orçamento de insumos: trazer a data de custo unitário e permitir a edição manual do custo</t>
  </si>
  <si>
    <t>Planejado x Executado</t>
  </si>
  <si>
    <t>Precisa incluir nova tela de desvios de dose de recomendação e 
estimar data/operação que poderá faltar produto.</t>
  </si>
  <si>
    <t>Duração da operação</t>
  </si>
  <si>
    <t>P</t>
  </si>
  <si>
    <t>M</t>
  </si>
  <si>
    <t>G</t>
  </si>
  <si>
    <t>GG</t>
  </si>
  <si>
    <t xml:space="preserve">pode ficar em rascunho por enquanto, o pessoal não demonstrou muito interesse 
em acompanhar essa métrica. </t>
  </si>
  <si>
    <t>Executada e Planejadax Executadas precisam ser redesenhadas para facilitar
 o entedimento do usuário</t>
  </si>
  <si>
    <t>Calendário Agrícola: nível mês de difícil entendimento pelos usuários. 
Nível ano, semana e dia estão ok</t>
  </si>
  <si>
    <t>PISSOLO</t>
  </si>
  <si>
    <t>GILSON</t>
  </si>
  <si>
    <t>PLANEJAMENTO</t>
  </si>
  <si>
    <t>FERTILIDADE</t>
  </si>
  <si>
    <t>Histórico de fertilidade do solo das últimas 3 safras  e mapa de calor de fertilidade do solo</t>
  </si>
  <si>
    <t>OPERAÇÃO</t>
  </si>
  <si>
    <t>Remover a coluna de previsão de conclusão.
Incluir essa informação na abertura da OS</t>
  </si>
  <si>
    <t>PLANTIO</t>
  </si>
  <si>
    <t>Tela de preenchimento individual, padronizar a área em % e colocar a funcionalidade de calendário para preencher a data de plantio.</t>
  </si>
  <si>
    <t xml:space="preserve">A área(%) precisa ser responsiva as mudanças de variedade.
Ex.: Maxima porcentagem de 100%, se o usuário colocar a var 1, fica 100,
se coloca a var 2, as duas ficam 50, se muda a var1 para 70 a var2 já muda para 30. </t>
  </si>
  <si>
    <t>PRÉ-CADASTRO</t>
  </si>
  <si>
    <t>Deixar claro que é unidade do produto da embalagem</t>
  </si>
  <si>
    <t>Avançar e Voltar nas operações as setas &lt;&gt;
 precisam ficar mais próximas do nome da operação</t>
  </si>
  <si>
    <t>Usuário não entende o que significa publicar versão</t>
  </si>
  <si>
    <t>O nome da recomendação gerou dúvida, sugiro remover o nome e gerar automático depois</t>
  </si>
  <si>
    <t>Quando clico na linha de fertilidade e defensivo abrir a janela de definr recomendação</t>
  </si>
  <si>
    <t>Remover as cores de Rec1 e Rec2, mas manter a classificação das receitas</t>
  </si>
  <si>
    <t>PLANO DE SAFRA</t>
  </si>
  <si>
    <t>Criar uma lista de produtos antagônicos e sinérgicos  para indicar alguma restrição da recomendação ou mistura de produtos.</t>
  </si>
  <si>
    <t>Mudar os nomes:
Não iniciada &gt;  Atrasada
Iniciada antes &gt; Antecipada
Iniciada com atraso &gt; Postergada</t>
  </si>
  <si>
    <t>PLANEJADO X 
EXECUTADO</t>
  </si>
  <si>
    <t>ORDEM DE SERVIÇO</t>
  </si>
  <si>
    <t>Desenvolver a tela de desvio  de produto, extrapolar os 
desvios médios e também a projeção de aplicação sem desvios para estimar a data que faltará produto.</t>
  </si>
  <si>
    <t>Priorizar produtos com data de vencimento mais próxima</t>
  </si>
  <si>
    <t>Não é uma informação acionável, podemos deixar em rascunho essa guia</t>
  </si>
  <si>
    <t xml:space="preserve">Quando altera o DAP e Fenologia o usuário 
fica em dúvida se salvou ou não. Criar o botão de salvamento automático mais visivel estilo excel. </t>
  </si>
  <si>
    <t>Revisão do planejamento, de modo que o usuário veja se esqueceu de recomendar para algum talhão.</t>
  </si>
  <si>
    <t>BASE DE TESTE</t>
  </si>
  <si>
    <t>Colocar o cadastro de produto do Pissolo na base de teste para simular o cadastro real de um plano safra.</t>
  </si>
  <si>
    <t>Incluir culturas soja, milho e cobertura.</t>
  </si>
  <si>
    <t xml:space="preserve">No caso de cultura em cobertura, dentro do plantio definir cultura e variedade, pois pode ter mix de sementes. </t>
  </si>
  <si>
    <t>DURAÇÃO DE OPERAÇÃO</t>
  </si>
  <si>
    <t>Telemetria para acompanhar as operações em tempo real  e 
não precisar do apontamento do operador</t>
  </si>
  <si>
    <t>Teste de Usabilidade Presencial | Data: 27/10/2026</t>
  </si>
  <si>
    <t>Teste de Usabilidade Remoto | Data: 28/10/2026</t>
  </si>
  <si>
    <t>Desenhar forma de incluir operação sem produto para registrar o DAP e 
gerar uma OS automática (grupo: preparo do solo, operação: gradagem).</t>
  </si>
  <si>
    <t>Excluir lista de operações atual e reaproveitar para validação do preenchimento do plano de safra</t>
  </si>
  <si>
    <t>Definir Plantio: add 2 variedades, exclui uma a área não voltou para 100%</t>
  </si>
  <si>
    <t>Previsão de Colheita: usuário não entendeu o que seria o decêndio, organizar por 
níveis de semana, quinzena e mês.
Precisamos deixar mais fácil a alteração da data de plantio, quando a colheita fica concentrada.</t>
  </si>
  <si>
    <t>Redesenhar o planejamento por grupo de operação: Corretivos, Plantio, Fertilizantes, Preparo do Solo, Defensivos. O usuário pode pular e voltar para o grupo em outro momento. 
Realizar o planejamento por grupo de operação, poder pular os grupos.
 Não precisa de uma lista de operações</t>
  </si>
  <si>
    <t>Pissolo</t>
  </si>
  <si>
    <t>Total</t>
  </si>
  <si>
    <t>Status</t>
  </si>
  <si>
    <t>backlog</t>
  </si>
  <si>
    <t>to do</t>
  </si>
  <si>
    <t>doing</t>
  </si>
  <si>
    <t>done</t>
  </si>
  <si>
    <t>PUBLICAR VERSÃO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</si>
</sst>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</cellXfs>
  <cellStyles count="1">
    <cellStyle name="Normal" xfId="0" builtinId="0"/>
  </cellStyles>
  <dxfs count="2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C691DC-83E1-44EF-B57D-B4C4DFE956C3}" name="Tabela1" displayName="Tabela1" ref="A2:F30" totalsRowShown="0" headerRowDxfId="13" headerRowBorderDxfId="12" tableBorderDxfId="11" totalsRowBorderDxfId="10">
  <autoFilter ref="A2:F30" xr:uid="{78C691DC-83E1-44EF-B57D-B4C4DFE956C3}"/>
  <tableColumns count="6">
    <tableColumn id="1" xr3:uid="{69063F6C-C814-41AA-A2C5-33F3AFDA2A5D}" name="GRUPO" dataDxfId="9"/>
    <tableColumn id="2" xr3:uid="{76293EDE-392B-4211-B18F-FEE2BEF5C802}" name="USUÁRIO" dataDxfId="8"/>
    <tableColumn id="3" xr3:uid="{BB923294-8B54-4F60-B216-7C14C64D3A67}" name="TELA" dataDxfId="7"/>
    <tableColumn id="4" xr3:uid="{7F642E6B-E90F-4B2D-ADCF-9A565B0BD0BE}" name="DEMANDA" dataDxfId="6"/>
    <tableColumn id="5" xr3:uid="{12FBB200-C86A-47C5-A1DD-8A443523E928}" name="Classificação" dataDxfId="5"/>
    <tableColumn id="6" xr3:uid="{EF4B64DE-01B8-43CA-9D95-785BA853B2AD}" name="Status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22B2100-00B2-40B6-A88B-6C25452ABF2F}" name="Tabela2" displayName="Tabela2" ref="A2:F24" totalsRowShown="0" headerRowDxfId="22" headerRowBorderDxfId="21" tableBorderDxfId="20" totalsRowBorderDxfId="19">
  <autoFilter ref="A2:F24" xr:uid="{E22B2100-00B2-40B6-A88B-6C25452ABF2F}"/>
  <tableColumns count="6">
    <tableColumn id="1" xr3:uid="{91562C84-965C-4E45-9D1A-C726299FDB0B}" name="GRUPO" dataDxfId="18"/>
    <tableColumn id="2" xr3:uid="{B7E65E7E-95C7-420B-A170-F2D2B280B8B0}" name="USUÁRIO" dataDxfId="17"/>
    <tableColumn id="3" xr3:uid="{F2A8A859-1116-4DE6-8ED0-778421CE35B3}" name="TELA" dataDxfId="16"/>
    <tableColumn id="4" xr3:uid="{BD07FD4B-ECB5-4C72-ACA2-4E2BAAB9159A}" name="DEMANDA" dataDxfId="15"/>
    <tableColumn id="5" xr3:uid="{CB3A1727-17F5-4CF7-8D2D-0B6F6128617F}" name="Classificação" dataDxfId="14"/>
    <tableColumn id="6" xr3:uid="{4207D452-30BF-4DF1-A6FC-D41E5F1F2533}" name="Status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64C51DB-179A-4311-B05B-CCC9A56A04E2}" name="Tabela3" displayName="Tabela3" ref="A1:D6" totalsRowShown="0" dataDxfId="4">
  <autoFilter ref="A1:D6" xr:uid="{A64C51DB-179A-4311-B05B-CCC9A56A04E2}"/>
  <tableColumns count="4">
    <tableColumn id="1" xr3:uid="{0DCDBF36-E402-429A-8B42-39B74982E9D6}" name="Classificação" dataDxfId="3"/>
    <tableColumn id="2" xr3:uid="{3C349FB2-E872-4ADC-8E44-DF7281E35D4C}" name="Pissolo" dataDxfId="2"/>
    <tableColumn id="3" xr3:uid="{1A2E55BD-1909-4AB7-8128-F1CFAB53B8E8}" name="Piccini" dataDxfId="1"/>
    <tableColumn id="4" xr3:uid="{02CFE7D4-4DA3-4FA3-B810-A4335B0FFD66}" name="Total" dataDxfId="0">
      <calculatedColumnFormula>SUM(B2:C2)</calculatedColumnFormula>
    </tableColumn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B2C9B-9999-415C-A434-CA2D4A1A710A}">
  <dimension ref="A1:G30"/>
  <sheetViews>
    <sheetView tabSelected="1" zoomScale="130" zoomScaleNormal="130" workbookViewId="0">
      <selection activeCell="D5" sqref="D5"/>
    </sheetView>
  </sheetViews>
  <sheetFormatPr defaultColWidth="9.109375" defaultRowHeight="14.4" x14ac:dyDescent="0.3"/>
  <cols>
    <col min="1" max="1" width="15.109375" style="2" bestFit="1" customWidth="1"/>
    <col min="2" max="2" width="10.88671875" style="2" bestFit="1" customWidth="1"/>
    <col min="3" max="3" width="19" style="2" bestFit="1" customWidth="1"/>
    <col min="4" max="4" width="82" style="2" bestFit="1" customWidth="1"/>
    <col min="5" max="5" width="14.44140625" style="2" bestFit="1" customWidth="1"/>
  </cols>
  <sheetData>
    <row r="1" spans="1:7" x14ac:dyDescent="0.3">
      <c r="A1" s="2" t="s">
        <v>75</v>
      </c>
    </row>
    <row r="2" spans="1:7" x14ac:dyDescent="0.3">
      <c r="A2" s="7" t="s">
        <v>1</v>
      </c>
      <c r="B2" s="8" t="s">
        <v>2</v>
      </c>
      <c r="C2" s="8" t="s">
        <v>4</v>
      </c>
      <c r="D2" s="8" t="s">
        <v>3</v>
      </c>
      <c r="E2" s="9" t="s">
        <v>7</v>
      </c>
      <c r="F2" s="8" t="s">
        <v>83</v>
      </c>
      <c r="G2" s="1"/>
    </row>
    <row r="3" spans="1:7" x14ac:dyDescent="0.3">
      <c r="A3" s="5" t="s">
        <v>0</v>
      </c>
      <c r="B3" s="3" t="s">
        <v>15</v>
      </c>
      <c r="C3" s="3" t="s">
        <v>5</v>
      </c>
      <c r="D3" s="3" t="s">
        <v>6</v>
      </c>
      <c r="E3" s="6" t="s">
        <v>34</v>
      </c>
      <c r="F3" t="s">
        <v>86</v>
      </c>
    </row>
    <row r="4" spans="1:7" x14ac:dyDescent="0.3">
      <c r="A4" s="5" t="s">
        <v>0</v>
      </c>
      <c r="B4" s="3" t="s">
        <v>15</v>
      </c>
      <c r="C4" s="3" t="s">
        <v>5</v>
      </c>
      <c r="D4" s="3" t="s">
        <v>8</v>
      </c>
      <c r="E4" s="6" t="s">
        <v>34</v>
      </c>
    </row>
    <row r="5" spans="1:7" x14ac:dyDescent="0.3">
      <c r="A5" s="5" t="s">
        <v>0</v>
      </c>
      <c r="B5" s="3" t="s">
        <v>15</v>
      </c>
      <c r="C5" s="3" t="s">
        <v>9</v>
      </c>
      <c r="D5" s="3" t="s">
        <v>77</v>
      </c>
      <c r="E5" s="6" t="s">
        <v>36</v>
      </c>
      <c r="F5" t="s">
        <v>86</v>
      </c>
    </row>
    <row r="6" spans="1:7" ht="28.8" x14ac:dyDescent="0.3">
      <c r="A6" s="5" t="s">
        <v>0</v>
      </c>
      <c r="B6" s="3" t="s">
        <v>15</v>
      </c>
      <c r="C6" s="3" t="s">
        <v>9</v>
      </c>
      <c r="D6" s="4" t="s">
        <v>76</v>
      </c>
      <c r="E6" s="6" t="s">
        <v>35</v>
      </c>
    </row>
    <row r="7" spans="1:7" x14ac:dyDescent="0.3">
      <c r="A7" s="5" t="s">
        <v>0</v>
      </c>
      <c r="B7" s="3" t="s">
        <v>15</v>
      </c>
      <c r="C7" s="3" t="s">
        <v>10</v>
      </c>
      <c r="D7" s="3" t="s">
        <v>11</v>
      </c>
      <c r="E7" s="6" t="s">
        <v>35</v>
      </c>
    </row>
    <row r="8" spans="1:7" x14ac:dyDescent="0.3">
      <c r="A8" s="5" t="s">
        <v>0</v>
      </c>
      <c r="B8" s="3" t="s">
        <v>15</v>
      </c>
      <c r="C8" s="3" t="s">
        <v>10</v>
      </c>
      <c r="D8" s="3" t="s">
        <v>12</v>
      </c>
      <c r="E8" s="6" t="s">
        <v>34</v>
      </c>
    </row>
    <row r="9" spans="1:7" x14ac:dyDescent="0.3">
      <c r="A9" s="5" t="s">
        <v>0</v>
      </c>
      <c r="B9" s="3" t="s">
        <v>15</v>
      </c>
      <c r="C9" s="3" t="s">
        <v>10</v>
      </c>
      <c r="D9" s="3" t="s">
        <v>78</v>
      </c>
      <c r="E9" s="6" t="s">
        <v>34</v>
      </c>
    </row>
    <row r="10" spans="1:7" x14ac:dyDescent="0.3">
      <c r="A10" s="5" t="s">
        <v>0</v>
      </c>
      <c r="B10" s="3" t="s">
        <v>15</v>
      </c>
      <c r="C10" s="3" t="s">
        <v>10</v>
      </c>
      <c r="D10" s="3" t="s">
        <v>13</v>
      </c>
      <c r="E10" s="6" t="s">
        <v>34</v>
      </c>
    </row>
    <row r="11" spans="1:7" x14ac:dyDescent="0.3">
      <c r="A11" s="5" t="s">
        <v>0</v>
      </c>
      <c r="B11" s="3" t="s">
        <v>15</v>
      </c>
      <c r="C11" s="3" t="s">
        <v>10</v>
      </c>
      <c r="D11" s="3" t="s">
        <v>14</v>
      </c>
      <c r="E11" s="6" t="s">
        <v>34</v>
      </c>
    </row>
    <row r="12" spans="1:7" ht="43.2" x14ac:dyDescent="0.3">
      <c r="A12" s="5" t="s">
        <v>0</v>
      </c>
      <c r="B12" s="3" t="s">
        <v>15</v>
      </c>
      <c r="C12" s="3" t="s">
        <v>10</v>
      </c>
      <c r="D12" s="4" t="s">
        <v>79</v>
      </c>
      <c r="E12" s="6" t="s">
        <v>36</v>
      </c>
    </row>
    <row r="13" spans="1:7" x14ac:dyDescent="0.3">
      <c r="A13" s="5" t="s">
        <v>0</v>
      </c>
      <c r="B13" s="3" t="s">
        <v>15</v>
      </c>
      <c r="C13" s="3" t="s">
        <v>16</v>
      </c>
      <c r="D13" s="3" t="s">
        <v>18</v>
      </c>
      <c r="E13" s="6" t="s">
        <v>34</v>
      </c>
    </row>
    <row r="14" spans="1:7" ht="28.8" x14ac:dyDescent="0.3">
      <c r="A14" s="5" t="s">
        <v>0</v>
      </c>
      <c r="B14" s="3" t="s">
        <v>15</v>
      </c>
      <c r="C14" s="3" t="s">
        <v>16</v>
      </c>
      <c r="D14" s="4" t="s">
        <v>27</v>
      </c>
      <c r="E14" s="6" t="s">
        <v>34</v>
      </c>
    </row>
    <row r="15" spans="1:7" x14ac:dyDescent="0.3">
      <c r="A15" s="5" t="s">
        <v>0</v>
      </c>
      <c r="B15" s="3" t="s">
        <v>15</v>
      </c>
      <c r="C15" s="3" t="s">
        <v>16</v>
      </c>
      <c r="D15" s="3" t="s">
        <v>19</v>
      </c>
      <c r="E15" s="6" t="s">
        <v>34</v>
      </c>
    </row>
    <row r="16" spans="1:7" x14ac:dyDescent="0.3">
      <c r="A16" s="5" t="s">
        <v>0</v>
      </c>
      <c r="B16" s="3" t="s">
        <v>15</v>
      </c>
      <c r="C16" s="3" t="s">
        <v>16</v>
      </c>
      <c r="D16" s="3" t="s">
        <v>20</v>
      </c>
      <c r="E16" s="6" t="s">
        <v>35</v>
      </c>
    </row>
    <row r="17" spans="1:5" x14ac:dyDescent="0.3">
      <c r="A17" s="5" t="s">
        <v>0</v>
      </c>
      <c r="B17" s="3" t="s">
        <v>15</v>
      </c>
      <c r="C17" s="3" t="s">
        <v>16</v>
      </c>
      <c r="D17" s="3" t="s">
        <v>22</v>
      </c>
      <c r="E17" s="6" t="s">
        <v>34</v>
      </c>
    </row>
    <row r="18" spans="1:5" x14ac:dyDescent="0.3">
      <c r="A18" s="5" t="s">
        <v>0</v>
      </c>
      <c r="B18" s="3" t="s">
        <v>15</v>
      </c>
      <c r="C18" s="3" t="s">
        <v>17</v>
      </c>
      <c r="D18" s="3" t="s">
        <v>18</v>
      </c>
      <c r="E18" s="6" t="s">
        <v>34</v>
      </c>
    </row>
    <row r="19" spans="1:5" ht="28.8" x14ac:dyDescent="0.3">
      <c r="A19" s="5" t="s">
        <v>0</v>
      </c>
      <c r="B19" s="3" t="s">
        <v>15</v>
      </c>
      <c r="C19" s="3" t="s">
        <v>17</v>
      </c>
      <c r="D19" s="4" t="s">
        <v>27</v>
      </c>
      <c r="E19" s="6" t="s">
        <v>34</v>
      </c>
    </row>
    <row r="20" spans="1:5" x14ac:dyDescent="0.3">
      <c r="A20" s="5" t="s">
        <v>0</v>
      </c>
      <c r="B20" s="3" t="s">
        <v>15</v>
      </c>
      <c r="C20" s="3" t="s">
        <v>17</v>
      </c>
      <c r="D20" s="3" t="s">
        <v>19</v>
      </c>
      <c r="E20" s="6" t="s">
        <v>34</v>
      </c>
    </row>
    <row r="21" spans="1:5" x14ac:dyDescent="0.3">
      <c r="A21" s="5" t="s">
        <v>0</v>
      </c>
      <c r="B21" s="3" t="s">
        <v>15</v>
      </c>
      <c r="C21" s="3" t="s">
        <v>17</v>
      </c>
      <c r="D21" s="3" t="s">
        <v>21</v>
      </c>
      <c r="E21" s="6" t="s">
        <v>34</v>
      </c>
    </row>
    <row r="22" spans="1:5" x14ac:dyDescent="0.3">
      <c r="A22" s="5" t="s">
        <v>0</v>
      </c>
      <c r="B22" s="3" t="s">
        <v>15</v>
      </c>
      <c r="C22" s="3" t="s">
        <v>23</v>
      </c>
      <c r="D22" s="3" t="s">
        <v>24</v>
      </c>
      <c r="E22" s="6" t="s">
        <v>34</v>
      </c>
    </row>
    <row r="23" spans="1:5" ht="28.8" x14ac:dyDescent="0.3">
      <c r="A23" s="5" t="s">
        <v>0</v>
      </c>
      <c r="B23" s="3" t="s">
        <v>15</v>
      </c>
      <c r="C23" s="3" t="s">
        <v>23</v>
      </c>
      <c r="D23" s="4" t="s">
        <v>28</v>
      </c>
      <c r="E23" s="6" t="s">
        <v>36</v>
      </c>
    </row>
    <row r="24" spans="1:5" x14ac:dyDescent="0.3">
      <c r="A24" s="5" t="s">
        <v>0</v>
      </c>
      <c r="B24" s="3" t="s">
        <v>15</v>
      </c>
      <c r="C24" s="3" t="s">
        <v>23</v>
      </c>
      <c r="D24" s="3" t="s">
        <v>25</v>
      </c>
      <c r="E24" s="6" t="s">
        <v>34</v>
      </c>
    </row>
    <row r="25" spans="1:5" ht="28.8" x14ac:dyDescent="0.3">
      <c r="A25" s="5" t="s">
        <v>0</v>
      </c>
      <c r="B25" s="3" t="s">
        <v>15</v>
      </c>
      <c r="C25" s="3" t="s">
        <v>23</v>
      </c>
      <c r="D25" s="4" t="s">
        <v>26</v>
      </c>
      <c r="E25" s="6" t="s">
        <v>34</v>
      </c>
    </row>
    <row r="26" spans="1:5" x14ac:dyDescent="0.3">
      <c r="A26" s="5" t="s">
        <v>0</v>
      </c>
      <c r="B26" s="3" t="s">
        <v>15</v>
      </c>
      <c r="C26" s="3" t="s">
        <v>29</v>
      </c>
      <c r="D26" s="3" t="s">
        <v>30</v>
      </c>
      <c r="E26" s="6" t="s">
        <v>35</v>
      </c>
    </row>
    <row r="27" spans="1:5" ht="28.8" x14ac:dyDescent="0.3">
      <c r="A27" s="5" t="s">
        <v>0</v>
      </c>
      <c r="B27" s="3" t="s">
        <v>15</v>
      </c>
      <c r="C27" s="3" t="s">
        <v>31</v>
      </c>
      <c r="D27" s="4" t="s">
        <v>40</v>
      </c>
      <c r="E27" s="6" t="s">
        <v>36</v>
      </c>
    </row>
    <row r="28" spans="1:5" ht="28.8" x14ac:dyDescent="0.3">
      <c r="A28" s="5" t="s">
        <v>0</v>
      </c>
      <c r="B28" s="3" t="s">
        <v>15</v>
      </c>
      <c r="C28" s="3" t="s">
        <v>31</v>
      </c>
      <c r="D28" s="4" t="s">
        <v>39</v>
      </c>
      <c r="E28" s="6" t="s">
        <v>36</v>
      </c>
    </row>
    <row r="29" spans="1:5" ht="28.8" x14ac:dyDescent="0.3">
      <c r="A29" s="5" t="s">
        <v>0</v>
      </c>
      <c r="B29" s="3" t="s">
        <v>15</v>
      </c>
      <c r="C29" s="3" t="s">
        <v>31</v>
      </c>
      <c r="D29" s="4" t="s">
        <v>32</v>
      </c>
      <c r="E29" s="6" t="s">
        <v>36</v>
      </c>
    </row>
    <row r="30" spans="1:5" ht="28.8" x14ac:dyDescent="0.3">
      <c r="A30" s="10" t="s">
        <v>0</v>
      </c>
      <c r="B30" s="11" t="s">
        <v>15</v>
      </c>
      <c r="C30" s="11" t="s">
        <v>33</v>
      </c>
      <c r="D30" s="12" t="s">
        <v>38</v>
      </c>
      <c r="E30" s="13" t="s">
        <v>34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0CD747D-6635-4674-8E72-5B890EE03255}">
          <x14:formula1>
            <xm:f>Resumo!$A$2:$A$5</xm:f>
          </x14:formula1>
          <xm:sqref>E3:E30</xm:sqref>
        </x14:dataValidation>
        <x14:dataValidation type="list" allowBlank="1" showInputMessage="1" showErrorMessage="1" xr:uid="{7C38DFEA-7E39-4749-8697-758B9F07E075}">
          <x14:formula1>
            <xm:f>Resumo!$A$10:$A$13</xm:f>
          </x14:formula1>
          <xm:sqref>F3:F30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3705D-8991-49A8-83DA-553E4E560EB3}">
  <dimension ref="A1:F24"/>
  <sheetViews>
    <sheetView workbookViewId="0">
      <selection activeCell="C15" sqref="C15"/>
    </sheetView>
  </sheetViews>
  <sheetFormatPr defaultRowHeight="14.4" x14ac:dyDescent="0.3"/>
  <cols>
    <col min="1" max="1" width="9" style="2" customWidth="1"/>
    <col min="2" max="2" width="10.5546875" style="2" customWidth="1"/>
    <col min="3" max="3" width="21.88671875" style="2" bestFit="1" customWidth="1"/>
    <col min="4" max="4" width="60.5546875" style="2" bestFit="1" customWidth="1"/>
    <col min="5" max="5" width="14.109375" style="2" customWidth="1"/>
  </cols>
  <sheetData>
    <row r="1" spans="1:6" x14ac:dyDescent="0.3">
      <c r="A1" s="2" t="s">
        <v>74</v>
      </c>
    </row>
    <row r="2" spans="1:6" x14ac:dyDescent="0.3">
      <c r="A2" s="7" t="s">
        <v>1</v>
      </c>
      <c r="B2" s="8" t="s">
        <v>2</v>
      </c>
      <c r="C2" s="8" t="s">
        <v>4</v>
      </c>
      <c r="D2" s="8" t="s">
        <v>3</v>
      </c>
      <c r="E2" s="9" t="s">
        <v>7</v>
      </c>
      <c r="F2" s="8" t="s">
        <v>83</v>
      </c>
    </row>
    <row r="3" spans="1:6" ht="28.8" x14ac:dyDescent="0.3">
      <c r="A3" s="5" t="s">
        <v>41</v>
      </c>
      <c r="B3" s="3" t="s">
        <v>42</v>
      </c>
      <c r="C3" s="3" t="s">
        <v>44</v>
      </c>
      <c r="D3" s="4" t="s">
        <v>45</v>
      </c>
      <c r="E3" s="6" t="s">
        <v>37</v>
      </c>
    </row>
    <row r="4" spans="1:6" ht="72" x14ac:dyDescent="0.3">
      <c r="A4" s="5" t="s">
        <v>41</v>
      </c>
      <c r="B4" s="3" t="s">
        <v>42</v>
      </c>
      <c r="C4" s="3" t="s">
        <v>43</v>
      </c>
      <c r="D4" s="4" t="s">
        <v>80</v>
      </c>
      <c r="E4" s="6" t="s">
        <v>36</v>
      </c>
    </row>
    <row r="5" spans="1:6" ht="28.8" x14ac:dyDescent="0.3">
      <c r="A5" s="5" t="s">
        <v>41</v>
      </c>
      <c r="B5" s="3" t="s">
        <v>42</v>
      </c>
      <c r="C5" s="3" t="s">
        <v>43</v>
      </c>
      <c r="D5" s="4" t="s">
        <v>67</v>
      </c>
      <c r="E5" s="6" t="s">
        <v>36</v>
      </c>
    </row>
    <row r="6" spans="1:6" x14ac:dyDescent="0.3">
      <c r="A6" s="5" t="s">
        <v>41</v>
      </c>
      <c r="B6" s="3" t="s">
        <v>42</v>
      </c>
      <c r="C6" s="3" t="s">
        <v>43</v>
      </c>
      <c r="D6" s="4" t="s">
        <v>70</v>
      </c>
      <c r="E6" s="6" t="s">
        <v>35</v>
      </c>
    </row>
    <row r="7" spans="1:6" ht="28.8" x14ac:dyDescent="0.3">
      <c r="A7" s="5" t="s">
        <v>41</v>
      </c>
      <c r="B7" s="3" t="s">
        <v>42</v>
      </c>
      <c r="C7" s="3" t="s">
        <v>68</v>
      </c>
      <c r="D7" s="4" t="s">
        <v>69</v>
      </c>
      <c r="E7" s="6" t="s">
        <v>35</v>
      </c>
    </row>
    <row r="8" spans="1:6" ht="28.8" x14ac:dyDescent="0.3">
      <c r="A8" s="5" t="s">
        <v>41</v>
      </c>
      <c r="B8" s="3" t="s">
        <v>42</v>
      </c>
      <c r="C8" s="3" t="s">
        <v>46</v>
      </c>
      <c r="D8" s="4" t="s">
        <v>47</v>
      </c>
      <c r="E8" s="6" t="s">
        <v>34</v>
      </c>
    </row>
    <row r="9" spans="1:6" ht="28.8" x14ac:dyDescent="0.3">
      <c r="A9" s="5" t="s">
        <v>41</v>
      </c>
      <c r="B9" s="3" t="s">
        <v>42</v>
      </c>
      <c r="C9" s="3" t="s">
        <v>48</v>
      </c>
      <c r="D9" s="4" t="s">
        <v>71</v>
      </c>
      <c r="E9" s="6" t="s">
        <v>35</v>
      </c>
    </row>
    <row r="10" spans="1:6" ht="28.8" x14ac:dyDescent="0.3">
      <c r="A10" s="5" t="s">
        <v>41</v>
      </c>
      <c r="B10" s="3" t="s">
        <v>42</v>
      </c>
      <c r="C10" s="3" t="s">
        <v>48</v>
      </c>
      <c r="D10" s="4" t="s">
        <v>49</v>
      </c>
      <c r="E10" s="6" t="s">
        <v>34</v>
      </c>
    </row>
    <row r="11" spans="1:6" ht="57.6" x14ac:dyDescent="0.3">
      <c r="A11" s="5" t="s">
        <v>41</v>
      </c>
      <c r="B11" s="3" t="s">
        <v>42</v>
      </c>
      <c r="C11" s="3" t="s">
        <v>48</v>
      </c>
      <c r="D11" s="4" t="s">
        <v>50</v>
      </c>
      <c r="E11" s="6" t="s">
        <v>35</v>
      </c>
    </row>
    <row r="12" spans="1:6" x14ac:dyDescent="0.3">
      <c r="A12" s="5" t="s">
        <v>41</v>
      </c>
      <c r="B12" s="3" t="s">
        <v>42</v>
      </c>
      <c r="C12" s="3" t="s">
        <v>51</v>
      </c>
      <c r="D12" s="3" t="s">
        <v>52</v>
      </c>
      <c r="E12" s="6" t="s">
        <v>34</v>
      </c>
    </row>
    <row r="13" spans="1:6" ht="28.8" x14ac:dyDescent="0.3">
      <c r="A13" s="5" t="s">
        <v>41</v>
      </c>
      <c r="B13" s="3" t="s">
        <v>42</v>
      </c>
      <c r="C13" s="3" t="s">
        <v>43</v>
      </c>
      <c r="D13" s="4" t="s">
        <v>53</v>
      </c>
      <c r="E13" s="6" t="s">
        <v>34</v>
      </c>
    </row>
    <row r="14" spans="1:6" x14ac:dyDescent="0.3">
      <c r="A14" s="5" t="s">
        <v>41</v>
      </c>
      <c r="B14" s="3" t="s">
        <v>42</v>
      </c>
      <c r="C14" s="3" t="s">
        <v>88</v>
      </c>
      <c r="D14" s="3" t="s">
        <v>54</v>
      </c>
      <c r="E14" s="6" t="s">
        <v>34</v>
      </c>
    </row>
    <row r="15" spans="1:6" ht="43.2" x14ac:dyDescent="0.3">
      <c r="A15" s="5" t="s">
        <v>41</v>
      </c>
      <c r="B15" s="3" t="s">
        <v>42</v>
      </c>
      <c r="C15" s="3" t="s">
        <v>43</v>
      </c>
      <c r="D15" s="4" t="s">
        <v>66</v>
      </c>
      <c r="E15" s="6" t="s">
        <v>34</v>
      </c>
    </row>
    <row r="16" spans="1:6" ht="28.8" x14ac:dyDescent="0.3">
      <c r="A16" s="5" t="s">
        <v>41</v>
      </c>
      <c r="B16" s="3" t="s">
        <v>42</v>
      </c>
      <c r="C16" s="3" t="s">
        <v>43</v>
      </c>
      <c r="D16" s="4" t="s">
        <v>55</v>
      </c>
      <c r="E16" s="6" t="s">
        <v>34</v>
      </c>
    </row>
    <row r="17" spans="1:5" ht="28.8" x14ac:dyDescent="0.3">
      <c r="A17" s="5" t="s">
        <v>41</v>
      </c>
      <c r="B17" s="3" t="s">
        <v>42</v>
      </c>
      <c r="C17" s="3" t="s">
        <v>43</v>
      </c>
      <c r="D17" s="4" t="s">
        <v>56</v>
      </c>
      <c r="E17" s="6" t="s">
        <v>34</v>
      </c>
    </row>
    <row r="18" spans="1:5" ht="28.8" x14ac:dyDescent="0.3">
      <c r="A18" s="5" t="s">
        <v>41</v>
      </c>
      <c r="B18" s="3" t="s">
        <v>42</v>
      </c>
      <c r="C18" s="3" t="s">
        <v>43</v>
      </c>
      <c r="D18" s="4" t="s">
        <v>57</v>
      </c>
      <c r="E18" s="6" t="s">
        <v>34</v>
      </c>
    </row>
    <row r="19" spans="1:5" ht="28.8" x14ac:dyDescent="0.3">
      <c r="A19" s="5" t="s">
        <v>41</v>
      </c>
      <c r="B19" s="3" t="s">
        <v>42</v>
      </c>
      <c r="C19" s="3" t="s">
        <v>58</v>
      </c>
      <c r="D19" s="4" t="s">
        <v>59</v>
      </c>
      <c r="E19" s="6" t="s">
        <v>36</v>
      </c>
    </row>
    <row r="20" spans="1:5" ht="57.6" x14ac:dyDescent="0.3">
      <c r="A20" s="5" t="s">
        <v>41</v>
      </c>
      <c r="B20" s="3" t="s">
        <v>42</v>
      </c>
      <c r="C20" s="4" t="s">
        <v>61</v>
      </c>
      <c r="D20" s="4" t="s">
        <v>60</v>
      </c>
      <c r="E20" s="6" t="s">
        <v>34</v>
      </c>
    </row>
    <row r="21" spans="1:5" ht="43.2" x14ac:dyDescent="0.3">
      <c r="A21" s="5" t="s">
        <v>41</v>
      </c>
      <c r="B21" s="3" t="s">
        <v>42</v>
      </c>
      <c r="C21" s="4" t="s">
        <v>61</v>
      </c>
      <c r="D21" s="4" t="s">
        <v>63</v>
      </c>
      <c r="E21" s="6" t="s">
        <v>36</v>
      </c>
    </row>
    <row r="22" spans="1:5" ht="28.8" x14ac:dyDescent="0.3">
      <c r="A22" s="5" t="s">
        <v>41</v>
      </c>
      <c r="B22" s="3" t="s">
        <v>42</v>
      </c>
      <c r="C22" s="3" t="s">
        <v>62</v>
      </c>
      <c r="D22" s="4" t="s">
        <v>73</v>
      </c>
      <c r="E22" s="6" t="s">
        <v>37</v>
      </c>
    </row>
    <row r="23" spans="1:5" x14ac:dyDescent="0.3">
      <c r="A23" s="5" t="s">
        <v>41</v>
      </c>
      <c r="B23" s="3" t="s">
        <v>42</v>
      </c>
      <c r="C23" s="3" t="s">
        <v>62</v>
      </c>
      <c r="D23" s="3" t="s">
        <v>64</v>
      </c>
      <c r="E23" s="6" t="s">
        <v>37</v>
      </c>
    </row>
    <row r="24" spans="1:5" x14ac:dyDescent="0.3">
      <c r="A24" s="5" t="s">
        <v>41</v>
      </c>
      <c r="B24" s="3" t="s">
        <v>42</v>
      </c>
      <c r="C24" s="11" t="s">
        <v>72</v>
      </c>
      <c r="D24" s="11" t="s">
        <v>65</v>
      </c>
      <c r="E24" s="13" t="s">
        <v>34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2BD36AA-6D12-482B-B3AE-8FD27A3C0773}">
          <x14:formula1>
            <xm:f>Resumo!$A$2:$A$5</xm:f>
          </x14:formula1>
          <xm:sqref>E3:E24</xm:sqref>
        </x14:dataValidation>
        <x14:dataValidation type="list" allowBlank="1" showInputMessage="1" showErrorMessage="1" xr:uid="{0D69E962-EBFC-4221-A288-04E58004BB3A}">
          <x14:formula1>
            <xm:f>Resumo!$A$10:$A$13</xm:f>
          </x14:formula1>
          <xm:sqref>F3:F24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68271-FCAA-4C2D-B616-2C06FD10D67D}">
  <dimension ref="A1:D13"/>
  <sheetViews>
    <sheetView workbookViewId="0">
      <selection activeCell="B19" sqref="B19"/>
    </sheetView>
  </sheetViews>
  <sheetFormatPr defaultRowHeight="14.4" x14ac:dyDescent="0.3"/>
  <cols>
    <col min="1" max="1" width="14.44140625" bestFit="1" customWidth="1"/>
    <col min="2" max="2" width="9.21875" bestFit="1" customWidth="1"/>
    <col min="3" max="3" width="9" bestFit="1" customWidth="1"/>
    <col min="4" max="4" width="7.33203125" bestFit="1" customWidth="1"/>
  </cols>
  <sheetData>
    <row r="1" spans="1:4" x14ac:dyDescent="0.3">
      <c r="A1" t="s">
        <v>7</v>
      </c>
      <c r="B1" t="s">
        <v>81</v>
      </c>
      <c r="C1" t="s">
        <v>0</v>
      </c>
      <c r="D1" t="s">
        <v>82</v>
      </c>
    </row>
    <row r="2" spans="1:4" x14ac:dyDescent="0.3">
      <c r="A2" s="14" t="s">
        <v>34</v>
      </c>
      <c r="B2" s="14">
        <f>COUNTIF(PISSOLO!$E:$E,Resumo!$A2)</f>
        <v>11</v>
      </c>
      <c r="C2" s="14">
        <f>COUNTIF(PICCINI!$E:$E,Resumo!$A2)</f>
        <v>18</v>
      </c>
      <c r="D2" s="14">
        <f>SUM(B2:C2)</f>
        <v>29</v>
      </c>
    </row>
    <row r="3" spans="1:4" x14ac:dyDescent="0.3">
      <c r="A3" s="14" t="s">
        <v>35</v>
      </c>
      <c r="B3" s="14">
        <f>COUNTIF(PISSOLO!$E:$E,Resumo!$A3)</f>
        <v>4</v>
      </c>
      <c r="C3" s="14">
        <f>COUNTIF(PICCINI!$E:$E,Resumo!$A3)</f>
        <v>4</v>
      </c>
      <c r="D3" s="14">
        <f t="shared" ref="D3:D5" si="0">SUM(B3:C3)</f>
        <v>8</v>
      </c>
    </row>
    <row r="4" spans="1:4" x14ac:dyDescent="0.3">
      <c r="A4" s="14" t="s">
        <v>36</v>
      </c>
      <c r="B4" s="14">
        <f>COUNTIF(PISSOLO!$E:$E,Resumo!$A4)</f>
        <v>4</v>
      </c>
      <c r="C4" s="14">
        <f>COUNTIF(PICCINI!$E:$E,Resumo!$A4)</f>
        <v>6</v>
      </c>
      <c r="D4" s="14">
        <f t="shared" si="0"/>
        <v>10</v>
      </c>
    </row>
    <row r="5" spans="1:4" ht="15" thickBot="1" x14ac:dyDescent="0.35">
      <c r="A5" s="15" t="s">
        <v>37</v>
      </c>
      <c r="B5" s="15">
        <f>COUNTIF(PISSOLO!$E:$E,Resumo!$A5)</f>
        <v>3</v>
      </c>
      <c r="C5" s="15">
        <f>COUNTIF(PICCINI!$E:$E,Resumo!$A5)</f>
        <v>0</v>
      </c>
      <c r="D5" s="15">
        <f t="shared" si="0"/>
        <v>3</v>
      </c>
    </row>
    <row r="6" spans="1:4" x14ac:dyDescent="0.3">
      <c r="A6" s="14" t="s">
        <v>82</v>
      </c>
      <c r="B6" s="14">
        <f>SUM(B2:B5)</f>
        <v>22</v>
      </c>
      <c r="C6" s="14">
        <f>SUM(C2:C5)</f>
        <v>28</v>
      </c>
      <c r="D6" s="14">
        <f>SUM(B6:C6)</f>
        <v>50</v>
      </c>
    </row>
    <row r="9" spans="1:4" x14ac:dyDescent="0.3">
      <c r="A9" t="s">
        <v>83</v>
      </c>
    </row>
    <row r="10" spans="1:4" x14ac:dyDescent="0.3">
      <c r="A10" t="s">
        <v>84</v>
      </c>
    </row>
    <row r="11" spans="1:4" x14ac:dyDescent="0.3">
      <c r="A11" t="s">
        <v>85</v>
      </c>
    </row>
    <row r="12" spans="1:4" x14ac:dyDescent="0.3">
      <c r="A12" t="s">
        <v>86</v>
      </c>
    </row>
    <row r="13" spans="1:4" x14ac:dyDescent="0.3">
      <c r="A13" t="s">
        <v>87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PICCINI</vt:lpstr>
      <vt:lpstr>PISSOLO</vt:lpstr>
      <vt:lpstr>Resumo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Julyane Fontenelli</dc:creator>
  <cp:lastModifiedBy>Julyane Fontenelli</cp:lastModifiedBy>
  <dcterms:created xsi:type="dcterms:W3CDTF">2026-10-28T14:40:30Z</dcterms:created>
  <dcterms:modified xsi:type="dcterms:W3CDTF">2026-10-28T21:46:46Z</dcterms:modified>
</cp:coreProperties>
</file>